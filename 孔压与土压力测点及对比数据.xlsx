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孔压测点P" sheetId="1" r:id="rId1"/>
    <sheet name="土压力测点S" sheetId="2" r:id="rId2"/>
    <sheet name="与试验对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<sst xmlns="http://schemas.openxmlformats.org/spreadsheetml/2006/main" count="15" uniqueCount="14">
  <si>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P1</t>
  </si>
  <si>
    <t>P2</t>
  </si>
  <si>
    <t>P3</t>
  </si>
  <si>
    <t>P4</t>
  </si>
  <si>
    <t>P5</t>
  </si>
  <si>
    <t>P6</t>
  </si>
  <si>
    <t>S1</t>
  </si>
  <si>
    <t>S2</t>
  </si>
  <si>
    <t>S3</t>
  </si>
  <si>
    <t>S4</t>
  </si>
  <si>
    <t>S5</t>
  </si>
  <si>
    <t>S6</t>
  </si>
  <si>
    <t>abaqus</t>
  </si>
  <si>
    <t>shiyan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</si>
</sst>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与试验对比!$A$2:$A$32</c:f>
              <c:numCache>
                <c:formatCode>General</c:formatCode>
                <c:ptCount val="31"/>
                <c:pt idx="0">
                  <c:v>0</c:v>
                </c:pt>
                <c:pt idx="1">
                  <c:v>0.001</c:v>
                </c:pt>
                <c:pt idx="2">
                  <c:v>0.001</c:v>
                </c:pt>
                <c:pt idx="3">
                  <c:v>100.001</c:v>
                </c:pt>
                <c:pt idx="4">
                  <c:v>200.001</c:v>
                </c:pt>
                <c:pt idx="5">
                  <c:v>300.001</c:v>
                </c:pt>
                <c:pt idx="6">
                  <c:v>500.001</c:v>
                </c:pt>
                <c:pt idx="7">
                  <c:v>900.001</c:v>
                </c:pt>
                <c:pt idx="8">
                  <c:v>1400</c:v>
                </c:pt>
                <c:pt idx="9">
                  <c:v>1900</c:v>
                </c:pt>
                <c:pt idx="10">
                  <c:v>2400</c:v>
                </c:pt>
                <c:pt idx="11">
                  <c:v>2900</c:v>
                </c:pt>
                <c:pt idx="12">
                  <c:v>3400</c:v>
                </c:pt>
                <c:pt idx="13">
                  <c:v>3900</c:v>
                </c:pt>
                <c:pt idx="14">
                  <c:v>4400</c:v>
                </c:pt>
                <c:pt idx="15">
                  <c:v>4900</c:v>
                </c:pt>
                <c:pt idx="16">
                  <c:v>5400</c:v>
                </c:pt>
                <c:pt idx="17">
                  <c:v>5900</c:v>
                </c:pt>
                <c:pt idx="18">
                  <c:v>6400</c:v>
                </c:pt>
                <c:pt idx="19">
                  <c:v>6900</c:v>
                </c:pt>
                <c:pt idx="20">
                  <c:v>7400</c:v>
                </c:pt>
                <c:pt idx="21">
                  <c:v>7900</c:v>
                </c:pt>
                <c:pt idx="22">
                  <c:v>8400</c:v>
                </c:pt>
                <c:pt idx="23">
                  <c:v>8900</c:v>
                </c:pt>
                <c:pt idx="24">
                  <c:v>9400</c:v>
                </c:pt>
                <c:pt idx="25">
                  <c:v>9900</c:v>
                </c:pt>
                <c:pt idx="26">
                  <c:v>10400</c:v>
                </c:pt>
                <c:pt idx="27">
                  <c:v>10900</c:v>
                </c:pt>
                <c:pt idx="28">
                  <c:v>11400</c:v>
                </c:pt>
                <c:pt idx="29">
                  <c:v>11900</c:v>
                </c:pt>
                <c:pt idx="30">
                  <c:v>12000</c:v>
                </c:pt>
              </c:numCache>
            </c:numRef>
          </c:xVal>
          <c:yVal>
            <c:numRef>
              <c:f>与试验对比!$B$2:$B$32</c:f>
              <c:numCache>
                <c:formatCode>General</c:formatCode>
                <c:ptCount val="31"/>
                <c:pt idx="0">
                  <c:v>0</c:v>
                </c:pt>
                <c:pt idx="1">
                  <c:v>19.9246</c:v>
                </c:pt>
                <c:pt idx="2">
                  <c:v>19.9246</c:v>
                </c:pt>
                <c:pt idx="3">
                  <c:v>18.342</c:v>
                </c:pt>
                <c:pt idx="4">
                  <c:v>17.0363</c:v>
                </c:pt>
                <c:pt idx="5">
                  <c:v>15.9599</c:v>
                </c:pt>
                <c:pt idx="6">
                  <c:v>14.1847</c:v>
                </c:pt>
                <c:pt idx="7">
                  <c:v>11.3939</c:v>
                </c:pt>
                <c:pt idx="8">
                  <c:v>8.72911</c:v>
                </c:pt>
                <c:pt idx="9">
                  <c:v>6.68768</c:v>
                </c:pt>
                <c:pt idx="10">
                  <c:v>5.12352</c:v>
                </c:pt>
                <c:pt idx="11">
                  <c:v>3.92512</c:v>
                </c:pt>
                <c:pt idx="12">
                  <c:v>3.00701</c:v>
                </c:pt>
                <c:pt idx="13">
                  <c:v>2.30365</c:v>
                </c:pt>
                <c:pt idx="14">
                  <c:v>1.7648</c:v>
                </c:pt>
                <c:pt idx="15">
                  <c:v>1.352</c:v>
                </c:pt>
                <c:pt idx="16">
                  <c:v>1.03575</c:v>
                </c:pt>
                <c:pt idx="17">
                  <c:v>0.793478</c:v>
                </c:pt>
                <c:pt idx="18">
                  <c:v>0.607875</c:v>
                </c:pt>
                <c:pt idx="19">
                  <c:v>0.465687</c:v>
                </c:pt>
                <c:pt idx="20">
                  <c:v>0.356758</c:v>
                </c:pt>
                <c:pt idx="21">
                  <c:v>0.273308</c:v>
                </c:pt>
                <c:pt idx="22">
                  <c:v>0.209379</c:v>
                </c:pt>
                <c:pt idx="23">
                  <c:v>0.160403</c:v>
                </c:pt>
                <c:pt idx="24">
                  <c:v>0.122883</c:v>
                </c:pt>
                <c:pt idx="25">
                  <c:v>0.0941393</c:v>
                </c:pt>
                <c:pt idx="26">
                  <c:v>0.0721191</c:v>
                </c:pt>
                <c:pt idx="27">
                  <c:v>0.0552497</c:v>
                </c:pt>
                <c:pt idx="28">
                  <c:v>0.0423262</c:v>
                </c:pt>
                <c:pt idx="29">
                  <c:v>0.0324257</c:v>
                </c:pt>
                <c:pt idx="30">
                  <c:v>0.0305595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974726"/>
        <c:axId val="546214525"/>
      </c:scatterChart>
      <c:valAx>
        <c:axId val="36697472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6214525"/>
        <c:crosses val="autoZero"/>
        <c:crossBetween val="midCat"/>
      </c:valAx>
      <c:valAx>
        <c:axId val="5462145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97472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495300</xdr:colOff>
      <xdr:row>0</xdr:row>
      <xdr:rowOff>48895</xdr:rowOff>
    </xdr:from>
    <xdr:to>
      <xdr:col>19</xdr:col>
      <xdr:colOff>532765</xdr:colOff>
      <xdr:row>2</xdr:row>
      <xdr:rowOff>163830</xdr:rowOff>
    </xdr:to>
    <xdr:sp>
      <xdr:nvSpPr>
        <xdr:cNvPr id="2" name="文本框 1"/>
        <xdr:cNvSpPr txBox="1"/>
      </xdr:nvSpPr>
      <xdr:spPr>
        <a:xfrm>
          <a:off x="12153900" y="48895"/>
          <a:ext cx="1409065" cy="4578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altLang="zh-CN" sz="1100">
              <a:solidFill>
                <a:srgbClr val="FF0000"/>
              </a:solidFill>
            </a:rPr>
            <a:t>Job-4-20kPa-copy</a:t>
          </a:r>
          <a:endParaRPr lang="en-US" altLang="zh-CN" sz="1100">
            <a:solidFill>
              <a:srgbClr val="FF0000"/>
            </a:solidFill>
          </a:endParaRPr>
        </a:p>
        <a:p>
          <a:pPr algn="l"/>
          <a:r>
            <a:rPr lang="en-US" altLang="zh-CN">
              <a:solidFill>
                <a:srgbClr val="FF0000"/>
              </a:solidFill>
              <a:sym typeface="+mn-ea"/>
            </a:rPr>
            <a:t>Job-4-H2-20kPa-copy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25400</xdr:rowOff>
    </xdr:from>
    <xdr:to>
      <xdr:col>17</xdr:col>
      <xdr:colOff>339725</xdr:colOff>
      <xdr:row>17</xdr:row>
      <xdr:rowOff>25400</xdr:rowOff>
    </xdr:to>
    <xdr:graphicFrame>
      <xdr:nvGraphicFramePr>
        <xdr:cNvPr id="4" name="图表 3"/>
        <xdr:cNvGraphicFramePr/>
      </xdr:nvGraphicFramePr>
      <xdr:xfrm>
        <a:off x="7724775" y="196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abSelected="1" workbookViewId="0">
      <selection activeCell="A2" sqref="A2:B32"/>
    </sheetView>
  </sheetViews>
  <sheetFormatPr defaultColWidth="9" defaultRowHeight="13.5"/>
  <sheetData>
    <row r="1" spans="1:17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</row>
    <row r="2" spans="1:17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  <c r="M2">
        <v>0</v>
      </c>
      <c r="N2">
        <v>0</v>
      </c>
      <c r="P2">
        <v>0</v>
      </c>
      <c r="Q2">
        <v>0</v>
      </c>
    </row>
    <row r="3" spans="1:17">
      <c r="A3">
        <v>0.001</v>
      </c>
      <c r="B3">
        <v>19.9246</v>
      </c>
      <c r="D3">
        <v>0.001</v>
      </c>
      <c r="E3">
        <v>19.921</v>
      </c>
      <c r="G3">
        <v>0.001</v>
      </c>
      <c r="H3">
        <v>19.901</v>
      </c>
      <c r="J3">
        <v>0.001</v>
      </c>
      <c r="K3">
        <v>19.927</v>
      </c>
      <c r="M3">
        <v>0.001</v>
      </c>
      <c r="N3">
        <v>19.8894</v>
      </c>
      <c r="P3">
        <v>0.001</v>
      </c>
      <c r="Q3">
        <v>19.8991</v>
      </c>
    </row>
    <row r="4" spans="1:17">
      <c r="A4">
        <v>0.001</v>
      </c>
      <c r="B4">
        <v>19.9246</v>
      </c>
      <c r="D4">
        <v>0.001</v>
      </c>
      <c r="E4">
        <v>19.921</v>
      </c>
      <c r="G4">
        <v>0.001</v>
      </c>
      <c r="H4">
        <v>19.901</v>
      </c>
      <c r="J4">
        <v>0.001</v>
      </c>
      <c r="K4">
        <v>19.927</v>
      </c>
      <c r="M4">
        <v>0.001</v>
      </c>
      <c r="N4">
        <v>19.8894</v>
      </c>
      <c r="P4">
        <v>0.001</v>
      </c>
      <c r="Q4">
        <v>19.8991</v>
      </c>
    </row>
    <row r="5" spans="1:17">
      <c r="A5">
        <v>100.001</v>
      </c>
      <c r="B5">
        <v>18.342</v>
      </c>
      <c r="D5">
        <v>100.001</v>
      </c>
      <c r="E5">
        <v>18.1274</v>
      </c>
      <c r="G5">
        <v>100.001</v>
      </c>
      <c r="H5">
        <v>18.4886</v>
      </c>
      <c r="J5">
        <v>100.001</v>
      </c>
      <c r="K5">
        <v>18.1656</v>
      </c>
      <c r="M5">
        <v>100.001</v>
      </c>
      <c r="N5">
        <v>18.2763</v>
      </c>
      <c r="P5">
        <v>100.001</v>
      </c>
      <c r="Q5">
        <v>18.5022</v>
      </c>
    </row>
    <row r="6" spans="1:17">
      <c r="A6">
        <v>200.001</v>
      </c>
      <c r="B6">
        <v>17.0363</v>
      </c>
      <c r="D6">
        <v>200.001</v>
      </c>
      <c r="E6">
        <v>16.7556</v>
      </c>
      <c r="G6">
        <v>200.001</v>
      </c>
      <c r="H6">
        <v>17.2566</v>
      </c>
      <c r="J6">
        <v>200.001</v>
      </c>
      <c r="K6">
        <v>16.7237</v>
      </c>
      <c r="M6">
        <v>200.001</v>
      </c>
      <c r="N6">
        <v>16.8968</v>
      </c>
      <c r="P6">
        <v>200.001</v>
      </c>
      <c r="Q6">
        <v>17.2294</v>
      </c>
    </row>
    <row r="7" spans="1:17">
      <c r="A7">
        <v>300.001</v>
      </c>
      <c r="B7">
        <v>15.9599</v>
      </c>
      <c r="D7">
        <v>300.001</v>
      </c>
      <c r="E7">
        <v>15.6698</v>
      </c>
      <c r="G7">
        <v>300.001</v>
      </c>
      <c r="H7">
        <v>16.192</v>
      </c>
      <c r="J7">
        <v>300.001</v>
      </c>
      <c r="K7">
        <v>15.5591</v>
      </c>
      <c r="M7">
        <v>300.001</v>
      </c>
      <c r="N7">
        <v>15.7576</v>
      </c>
      <c r="P7">
        <v>300.001</v>
      </c>
      <c r="Q7">
        <v>16.1201</v>
      </c>
    </row>
    <row r="8" spans="1:17">
      <c r="A8">
        <v>500.001</v>
      </c>
      <c r="B8">
        <v>14.1847</v>
      </c>
      <c r="D8">
        <v>500.001</v>
      </c>
      <c r="E8">
        <v>13.913</v>
      </c>
      <c r="G8">
        <v>500.001</v>
      </c>
      <c r="H8">
        <v>14.3912</v>
      </c>
      <c r="J8">
        <v>500.001</v>
      </c>
      <c r="K8">
        <v>13.6866</v>
      </c>
      <c r="M8">
        <v>500.001</v>
      </c>
      <c r="N8">
        <v>13.8855</v>
      </c>
      <c r="P8">
        <v>500.001</v>
      </c>
      <c r="Q8">
        <v>14.2317</v>
      </c>
    </row>
    <row r="9" spans="1:17">
      <c r="A9">
        <v>900.001</v>
      </c>
      <c r="B9">
        <v>11.3939</v>
      </c>
      <c r="D9">
        <v>900.001</v>
      </c>
      <c r="E9">
        <v>11.168</v>
      </c>
      <c r="G9">
        <v>900.001</v>
      </c>
      <c r="H9">
        <v>11.5503</v>
      </c>
      <c r="J9">
        <v>900.001</v>
      </c>
      <c r="K9">
        <v>10.8148</v>
      </c>
      <c r="M9">
        <v>900.001</v>
      </c>
      <c r="N9">
        <v>10.9813</v>
      </c>
      <c r="P9">
        <v>900.001</v>
      </c>
      <c r="Q9">
        <v>11.2636</v>
      </c>
    </row>
    <row r="10" spans="1:17">
      <c r="A10">
        <v>1400</v>
      </c>
      <c r="B10">
        <v>8.72911</v>
      </c>
      <c r="D10">
        <v>1400</v>
      </c>
      <c r="E10">
        <v>8.55301</v>
      </c>
      <c r="G10">
        <v>1400</v>
      </c>
      <c r="H10">
        <v>8.84393</v>
      </c>
      <c r="J10">
        <v>1400</v>
      </c>
      <c r="K10">
        <v>8.13151</v>
      </c>
      <c r="M10">
        <v>1400</v>
      </c>
      <c r="N10">
        <v>8.25888</v>
      </c>
      <c r="P10">
        <v>1400</v>
      </c>
      <c r="Q10">
        <v>8.47301</v>
      </c>
    </row>
    <row r="11" spans="1:17">
      <c r="A11">
        <v>1900</v>
      </c>
      <c r="B11">
        <v>6.68768</v>
      </c>
      <c r="D11">
        <v>1900</v>
      </c>
      <c r="E11">
        <v>6.5518</v>
      </c>
      <c r="G11">
        <v>1900</v>
      </c>
      <c r="H11">
        <v>6.77392</v>
      </c>
      <c r="J11">
        <v>1900</v>
      </c>
      <c r="K11">
        <v>6.11567</v>
      </c>
      <c r="M11">
        <v>1900</v>
      </c>
      <c r="N11">
        <v>6.21196</v>
      </c>
      <c r="P11">
        <v>1900</v>
      </c>
      <c r="Q11">
        <v>6.37341</v>
      </c>
    </row>
    <row r="12" spans="1:17">
      <c r="A12">
        <v>2400</v>
      </c>
      <c r="B12">
        <v>5.12352</v>
      </c>
      <c r="D12">
        <v>2400</v>
      </c>
      <c r="E12">
        <v>5.01911</v>
      </c>
      <c r="G12">
        <v>2400</v>
      </c>
      <c r="H12">
        <v>5.18904</v>
      </c>
      <c r="J12">
        <v>2400</v>
      </c>
      <c r="K12">
        <v>4.59987</v>
      </c>
      <c r="M12">
        <v>2400</v>
      </c>
      <c r="N12">
        <v>4.67241</v>
      </c>
      <c r="P12">
        <v>2400</v>
      </c>
      <c r="Q12">
        <v>4.79394</v>
      </c>
    </row>
    <row r="13" spans="1:17">
      <c r="A13">
        <v>2900</v>
      </c>
      <c r="B13">
        <v>3.92512</v>
      </c>
      <c r="D13">
        <v>2900</v>
      </c>
      <c r="E13">
        <v>3.84505</v>
      </c>
      <c r="G13">
        <v>2900</v>
      </c>
      <c r="H13">
        <v>3.97515</v>
      </c>
      <c r="J13">
        <v>2900</v>
      </c>
      <c r="K13">
        <v>3.45983</v>
      </c>
      <c r="M13">
        <v>2900</v>
      </c>
      <c r="N13">
        <v>3.51443</v>
      </c>
      <c r="P13">
        <v>2900</v>
      </c>
      <c r="Q13">
        <v>3.60586</v>
      </c>
    </row>
    <row r="14" spans="1:17">
      <c r="A14">
        <v>3400</v>
      </c>
      <c r="B14">
        <v>3.00701</v>
      </c>
      <c r="D14">
        <v>3400</v>
      </c>
      <c r="E14">
        <v>2.94564</v>
      </c>
      <c r="G14">
        <v>3400</v>
      </c>
      <c r="H14">
        <v>3.04529</v>
      </c>
      <c r="J14">
        <v>3400</v>
      </c>
      <c r="K14">
        <v>2.60236</v>
      </c>
      <c r="M14">
        <v>3400</v>
      </c>
      <c r="N14">
        <v>2.64343</v>
      </c>
      <c r="P14">
        <v>3400</v>
      </c>
      <c r="Q14">
        <v>2.71221</v>
      </c>
    </row>
    <row r="15" spans="1:17">
      <c r="A15">
        <v>3900</v>
      </c>
      <c r="B15">
        <v>2.30365</v>
      </c>
      <c r="D15">
        <v>3900</v>
      </c>
      <c r="E15">
        <v>2.25662</v>
      </c>
      <c r="G15">
        <v>3900</v>
      </c>
      <c r="H15">
        <v>2.33295</v>
      </c>
      <c r="J15">
        <v>3900</v>
      </c>
      <c r="K15">
        <v>1.9574</v>
      </c>
      <c r="M15">
        <v>3900</v>
      </c>
      <c r="N15">
        <v>1.9883</v>
      </c>
      <c r="P15">
        <v>3900</v>
      </c>
      <c r="Q15">
        <v>2.04004</v>
      </c>
    </row>
    <row r="16" spans="1:17">
      <c r="A16">
        <v>4400</v>
      </c>
      <c r="B16">
        <v>1.7648</v>
      </c>
      <c r="D16">
        <v>4400</v>
      </c>
      <c r="E16">
        <v>1.72877</v>
      </c>
      <c r="G16">
        <v>4400</v>
      </c>
      <c r="H16">
        <v>1.78725</v>
      </c>
      <c r="J16">
        <v>4400</v>
      </c>
      <c r="K16">
        <v>1.47229</v>
      </c>
      <c r="M16">
        <v>4400</v>
      </c>
      <c r="N16">
        <v>1.49553</v>
      </c>
      <c r="P16">
        <v>4400</v>
      </c>
      <c r="Q16">
        <v>1.53444</v>
      </c>
    </row>
    <row r="17" spans="1:17">
      <c r="A17">
        <v>4900</v>
      </c>
      <c r="B17">
        <v>1.352</v>
      </c>
      <c r="D17">
        <v>4900</v>
      </c>
      <c r="E17">
        <v>1.32439</v>
      </c>
      <c r="G17">
        <v>4900</v>
      </c>
      <c r="H17">
        <v>1.36919</v>
      </c>
      <c r="J17">
        <v>4900</v>
      </c>
      <c r="K17">
        <v>1.1074</v>
      </c>
      <c r="M17">
        <v>4900</v>
      </c>
      <c r="N17">
        <v>1.12489</v>
      </c>
      <c r="P17">
        <v>4900</v>
      </c>
      <c r="Q17">
        <v>1.15416</v>
      </c>
    </row>
    <row r="18" spans="1:17">
      <c r="A18">
        <v>5400</v>
      </c>
      <c r="B18">
        <v>1.03575</v>
      </c>
      <c r="D18">
        <v>5400</v>
      </c>
      <c r="E18">
        <v>1.0146</v>
      </c>
      <c r="G18">
        <v>5400</v>
      </c>
      <c r="H18">
        <v>1.04892</v>
      </c>
      <c r="J18">
        <v>5400</v>
      </c>
      <c r="K18">
        <v>0.832951</v>
      </c>
      <c r="M18">
        <v>5400</v>
      </c>
      <c r="N18">
        <v>0.8461</v>
      </c>
      <c r="P18">
        <v>5400</v>
      </c>
      <c r="Q18">
        <v>0.868117</v>
      </c>
    </row>
    <row r="19" spans="1:17">
      <c r="A19">
        <v>5900</v>
      </c>
      <c r="B19">
        <v>0.793478</v>
      </c>
      <c r="D19">
        <v>5900</v>
      </c>
      <c r="E19">
        <v>0.777277</v>
      </c>
      <c r="G19">
        <v>5900</v>
      </c>
      <c r="H19">
        <v>0.803568</v>
      </c>
      <c r="J19">
        <v>5900</v>
      </c>
      <c r="K19">
        <v>0.626517</v>
      </c>
      <c r="M19">
        <v>5900</v>
      </c>
      <c r="N19">
        <v>0.636408</v>
      </c>
      <c r="P19">
        <v>5900</v>
      </c>
      <c r="Q19">
        <v>0.652968</v>
      </c>
    </row>
    <row r="20" spans="1:17">
      <c r="A20">
        <v>6400</v>
      </c>
      <c r="B20">
        <v>0.607875</v>
      </c>
      <c r="D20">
        <v>6400</v>
      </c>
      <c r="E20">
        <v>0.595464</v>
      </c>
      <c r="G20">
        <v>6400</v>
      </c>
      <c r="H20">
        <v>0.615605</v>
      </c>
      <c r="J20">
        <v>6400</v>
      </c>
      <c r="K20">
        <v>0.471245</v>
      </c>
      <c r="M20">
        <v>6400</v>
      </c>
      <c r="N20">
        <v>0.478684</v>
      </c>
      <c r="P20">
        <v>6400</v>
      </c>
      <c r="Q20">
        <v>0.49114</v>
      </c>
    </row>
    <row r="21" spans="1:17">
      <c r="A21">
        <v>6900</v>
      </c>
      <c r="B21">
        <v>0.465687</v>
      </c>
      <c r="D21">
        <v>6900</v>
      </c>
      <c r="E21">
        <v>0.456179</v>
      </c>
      <c r="G21">
        <v>6900</v>
      </c>
      <c r="H21">
        <v>0.471608</v>
      </c>
      <c r="J21">
        <v>6900</v>
      </c>
      <c r="K21">
        <v>0.354454</v>
      </c>
      <c r="M21">
        <v>6900</v>
      </c>
      <c r="N21">
        <v>0.36005</v>
      </c>
      <c r="P21">
        <v>6900</v>
      </c>
      <c r="Q21">
        <v>0.369419</v>
      </c>
    </row>
    <row r="22" spans="1:17">
      <c r="A22">
        <v>7400</v>
      </c>
      <c r="B22">
        <v>0.356758</v>
      </c>
      <c r="D22">
        <v>7400</v>
      </c>
      <c r="E22">
        <v>0.349474</v>
      </c>
      <c r="G22">
        <v>7400</v>
      </c>
      <c r="H22">
        <v>0.361294</v>
      </c>
      <c r="J22">
        <v>7400</v>
      </c>
      <c r="K22">
        <v>0.266608</v>
      </c>
      <c r="M22">
        <v>7400</v>
      </c>
      <c r="N22">
        <v>0.270817</v>
      </c>
      <c r="P22">
        <v>7400</v>
      </c>
      <c r="Q22">
        <v>0.277864</v>
      </c>
    </row>
    <row r="23" spans="1:17">
      <c r="A23">
        <v>7900</v>
      </c>
      <c r="B23">
        <v>0.273308</v>
      </c>
      <c r="D23">
        <v>7900</v>
      </c>
      <c r="E23">
        <v>0.267728</v>
      </c>
      <c r="G23">
        <v>7900</v>
      </c>
      <c r="H23">
        <v>0.276784</v>
      </c>
      <c r="J23">
        <v>7900</v>
      </c>
      <c r="K23">
        <v>0.200533</v>
      </c>
      <c r="M23">
        <v>7900</v>
      </c>
      <c r="N23">
        <v>0.203699</v>
      </c>
      <c r="P23">
        <v>7900</v>
      </c>
      <c r="Q23">
        <v>0.209</v>
      </c>
    </row>
    <row r="24" spans="1:17">
      <c r="A24">
        <v>8400</v>
      </c>
      <c r="B24">
        <v>0.209379</v>
      </c>
      <c r="D24">
        <v>8400</v>
      </c>
      <c r="E24">
        <v>0.205104</v>
      </c>
      <c r="G24">
        <v>8400</v>
      </c>
      <c r="H24">
        <v>0.212041</v>
      </c>
      <c r="J24">
        <v>8400</v>
      </c>
      <c r="K24">
        <v>0.150834</v>
      </c>
      <c r="M24">
        <v>8400</v>
      </c>
      <c r="N24">
        <v>0.153215</v>
      </c>
      <c r="P24">
        <v>8400</v>
      </c>
      <c r="Q24">
        <v>0.157202</v>
      </c>
    </row>
    <row r="25" spans="1:17">
      <c r="A25">
        <v>8900</v>
      </c>
      <c r="B25">
        <v>0.160403</v>
      </c>
      <c r="D25">
        <v>8900</v>
      </c>
      <c r="E25">
        <v>0.157128</v>
      </c>
      <c r="G25">
        <v>8900</v>
      </c>
      <c r="H25">
        <v>0.162442</v>
      </c>
      <c r="J25">
        <v>8900</v>
      </c>
      <c r="K25">
        <v>0.113452</v>
      </c>
      <c r="M25">
        <v>8900</v>
      </c>
      <c r="N25">
        <v>0.115243</v>
      </c>
      <c r="P25">
        <v>8900</v>
      </c>
      <c r="Q25">
        <v>0.118242</v>
      </c>
    </row>
    <row r="26" spans="1:17">
      <c r="A26">
        <v>9400</v>
      </c>
      <c r="B26">
        <v>0.122883</v>
      </c>
      <c r="D26">
        <v>9400</v>
      </c>
      <c r="E26">
        <v>0.120374</v>
      </c>
      <c r="G26">
        <v>9400</v>
      </c>
      <c r="H26">
        <v>0.124445</v>
      </c>
      <c r="J26">
        <v>9400</v>
      </c>
      <c r="K26">
        <v>0.085335</v>
      </c>
      <c r="M26">
        <v>9400</v>
      </c>
      <c r="N26">
        <v>0.0866821</v>
      </c>
      <c r="P26">
        <v>9400</v>
      </c>
      <c r="Q26">
        <v>0.0889377</v>
      </c>
    </row>
    <row r="27" spans="1:17">
      <c r="A27">
        <v>9900</v>
      </c>
      <c r="B27">
        <v>0.0941393</v>
      </c>
      <c r="D27">
        <v>9900</v>
      </c>
      <c r="E27">
        <v>0.0922173</v>
      </c>
      <c r="G27">
        <v>9900</v>
      </c>
      <c r="H27">
        <v>0.0953364</v>
      </c>
      <c r="J27">
        <v>9900</v>
      </c>
      <c r="K27">
        <v>0.0641861</v>
      </c>
      <c r="M27">
        <v>9900</v>
      </c>
      <c r="N27">
        <v>0.0651993</v>
      </c>
      <c r="P27">
        <v>9900</v>
      </c>
      <c r="Q27">
        <v>0.0668959</v>
      </c>
    </row>
    <row r="28" spans="1:17">
      <c r="A28">
        <v>10400</v>
      </c>
      <c r="B28">
        <v>0.0721191</v>
      </c>
      <c r="D28">
        <v>10400</v>
      </c>
      <c r="E28">
        <v>0.0706467</v>
      </c>
      <c r="G28">
        <v>10400</v>
      </c>
      <c r="H28">
        <v>0.0730362</v>
      </c>
      <c r="J28">
        <v>10400</v>
      </c>
      <c r="K28">
        <v>0.0482785</v>
      </c>
      <c r="M28">
        <v>10400</v>
      </c>
      <c r="N28">
        <v>0.0490407</v>
      </c>
      <c r="P28">
        <v>10400</v>
      </c>
      <c r="Q28">
        <v>0.0503168</v>
      </c>
    </row>
    <row r="29" spans="1:17">
      <c r="A29">
        <v>10900</v>
      </c>
      <c r="B29">
        <v>0.0552497</v>
      </c>
      <c r="D29">
        <v>10900</v>
      </c>
      <c r="E29">
        <v>0.0541217</v>
      </c>
      <c r="G29">
        <v>10900</v>
      </c>
      <c r="H29">
        <v>0.0559523</v>
      </c>
      <c r="J29">
        <v>10900</v>
      </c>
      <c r="K29">
        <v>0.0363135</v>
      </c>
      <c r="M29">
        <v>10900</v>
      </c>
      <c r="N29">
        <v>0.0368867</v>
      </c>
      <c r="P29">
        <v>10900</v>
      </c>
      <c r="Q29">
        <v>0.0378466</v>
      </c>
    </row>
    <row r="30" spans="1:17">
      <c r="A30">
        <v>11400</v>
      </c>
      <c r="B30">
        <v>0.0423262</v>
      </c>
      <c r="D30">
        <v>11400</v>
      </c>
      <c r="E30">
        <v>0.0414621</v>
      </c>
      <c r="G30">
        <v>11400</v>
      </c>
      <c r="H30">
        <v>0.0428645</v>
      </c>
      <c r="J30">
        <v>11400</v>
      </c>
      <c r="K30">
        <v>0.0273137</v>
      </c>
      <c r="M30">
        <v>11400</v>
      </c>
      <c r="N30">
        <v>0.0277449</v>
      </c>
      <c r="P30">
        <v>11400</v>
      </c>
      <c r="Q30">
        <v>0.0284669</v>
      </c>
    </row>
    <row r="31" spans="1:17">
      <c r="A31">
        <v>11900</v>
      </c>
      <c r="B31">
        <v>0.0324257</v>
      </c>
      <c r="D31">
        <v>11900</v>
      </c>
      <c r="E31">
        <v>0.0317636</v>
      </c>
      <c r="G31">
        <v>11900</v>
      </c>
      <c r="H31">
        <v>0.032838</v>
      </c>
      <c r="J31">
        <v>11900</v>
      </c>
      <c r="K31">
        <v>0.0205444</v>
      </c>
      <c r="M31">
        <v>11900</v>
      </c>
      <c r="N31">
        <v>0.0208688</v>
      </c>
      <c r="P31">
        <v>11900</v>
      </c>
      <c r="Q31">
        <v>0.0214118</v>
      </c>
    </row>
    <row r="32" spans="1:17">
      <c r="A32">
        <v>12000</v>
      </c>
      <c r="B32">
        <v>0.0305595</v>
      </c>
      <c r="D32">
        <v>12000</v>
      </c>
      <c r="E32">
        <v>0.0299356</v>
      </c>
      <c r="G32">
        <v>12000</v>
      </c>
      <c r="H32">
        <v>0.0309481</v>
      </c>
      <c r="J32">
        <v>12000</v>
      </c>
      <c r="K32">
        <v>0.0192743</v>
      </c>
      <c r="M32">
        <v>12000</v>
      </c>
      <c r="N32">
        <v>0.0195786</v>
      </c>
      <c r="P32">
        <v>12000</v>
      </c>
      <c r="Q32">
        <v>0.020088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"/>
  <sheetViews>
    <sheetView workbookViewId="0">
      <selection activeCell="G2" sqref="G2:H67"/>
    </sheetView>
  </sheetViews>
  <sheetFormatPr defaultColWidth="9" defaultRowHeight="13.5"/>
  <cols>
    <col min="5" max="5" width="9.375"/>
  </cols>
  <sheetData>
    <row r="1" spans="1:17">
      <c r="A1" t="s">
        <v>6</v>
      </c>
      <c r="D1" t="s">
        <v>7</v>
      </c>
      <c r="G1" t="s">
        <v>8</v>
      </c>
      <c r="J1" t="s">
        <v>9</v>
      </c>
      <c r="M1" t="s">
        <v>10</v>
      </c>
      <c r="P1" t="s">
        <v>11</v>
      </c>
    </row>
    <row r="2" spans="1:17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J2">
        <v>0</v>
      </c>
      <c r="K2">
        <v>0</v>
      </c>
      <c r="M2">
        <v>0</v>
      </c>
      <c r="N2">
        <v>0</v>
      </c>
      <c r="P2">
        <v>0</v>
      </c>
      <c r="Q2">
        <v>0</v>
      </c>
    </row>
    <row r="3" spans="1:17">
      <c r="A3">
        <v>0.001</v>
      </c>
      <c r="B3">
        <v>0.00101451</v>
      </c>
      <c r="D3">
        <v>0.001</v>
      </c>
      <c r="E3">
        <v>0.00562745</v>
      </c>
      <c r="G3">
        <v>0.001</v>
      </c>
      <c r="H3">
        <v>-0.00647098</v>
      </c>
      <c r="J3">
        <v>0.001</v>
      </c>
      <c r="K3">
        <v>-0.00271428</v>
      </c>
      <c r="M3">
        <v>0.001</v>
      </c>
      <c r="N3">
        <v>0.00610553</v>
      </c>
      <c r="P3">
        <v>0.001</v>
      </c>
      <c r="Q3">
        <v>-0.00566585</v>
      </c>
    </row>
    <row r="4" spans="1:17">
      <c r="A4">
        <v>0.001</v>
      </c>
      <c r="B4">
        <v>0.00101451</v>
      </c>
      <c r="D4">
        <v>0.001</v>
      </c>
      <c r="E4">
        <v>0.00562745</v>
      </c>
      <c r="G4">
        <v>0.001</v>
      </c>
      <c r="H4">
        <v>-0.00647098</v>
      </c>
      <c r="J4">
        <v>0.001</v>
      </c>
      <c r="K4">
        <v>-0.00271428</v>
      </c>
      <c r="M4">
        <v>0.001</v>
      </c>
      <c r="N4">
        <v>0.00610553</v>
      </c>
      <c r="P4">
        <v>0.001</v>
      </c>
      <c r="Q4">
        <v>-0.00566585</v>
      </c>
    </row>
    <row r="5" spans="1:17">
      <c r="A5">
        <v>100.001</v>
      </c>
      <c r="B5">
        <v>-1.41285</v>
      </c>
      <c r="D5">
        <v>100.001</v>
      </c>
      <c r="E5">
        <v>-1.39604</v>
      </c>
      <c r="G5">
        <v>100.001</v>
      </c>
      <c r="H5">
        <v>-1.05179</v>
      </c>
      <c r="J5">
        <v>100.001</v>
      </c>
      <c r="K5">
        <v>-1.58685</v>
      </c>
      <c r="M5">
        <v>100.001</v>
      </c>
      <c r="N5">
        <v>-1.30327</v>
      </c>
      <c r="P5">
        <v>100.001</v>
      </c>
      <c r="Q5">
        <v>-1.09839</v>
      </c>
    </row>
    <row r="6" spans="1:17">
      <c r="A6">
        <v>100.001</v>
      </c>
      <c r="B6">
        <v>-1.55395</v>
      </c>
      <c r="D6">
        <v>100.001</v>
      </c>
      <c r="E6">
        <v>-1.38475</v>
      </c>
      <c r="G6">
        <v>100.001</v>
      </c>
      <c r="H6">
        <v>-1.00829</v>
      </c>
      <c r="J6">
        <v>100.001</v>
      </c>
      <c r="K6">
        <v>-1.7434</v>
      </c>
      <c r="M6">
        <v>100.001</v>
      </c>
      <c r="N6">
        <v>-1.28373</v>
      </c>
      <c r="P6">
        <v>100.001</v>
      </c>
      <c r="Q6">
        <v>-1.07835</v>
      </c>
    </row>
    <row r="7" spans="1:17">
      <c r="A7">
        <v>100.001</v>
      </c>
      <c r="B7">
        <v>-1.42199</v>
      </c>
      <c r="D7">
        <v>100.001</v>
      </c>
      <c r="E7">
        <v>-1.54366</v>
      </c>
      <c r="G7">
        <v>100.001</v>
      </c>
      <c r="H7">
        <v>-1.13236</v>
      </c>
      <c r="J7">
        <v>100.001</v>
      </c>
      <c r="K7">
        <v>-1.56804</v>
      </c>
      <c r="M7">
        <v>100.001</v>
      </c>
      <c r="N7">
        <v>-1.42976</v>
      </c>
      <c r="P7">
        <v>100.001</v>
      </c>
      <c r="Q7">
        <v>-1.17916</v>
      </c>
    </row>
    <row r="8" spans="1:17">
      <c r="A8">
        <v>100.001</v>
      </c>
      <c r="B8">
        <v>-1.56559</v>
      </c>
      <c r="D8">
        <v>100.001</v>
      </c>
      <c r="E8">
        <v>-1.53131</v>
      </c>
      <c r="G8">
        <v>100.001</v>
      </c>
      <c r="H8">
        <v>-1.07466</v>
      </c>
      <c r="J8">
        <v>100.001</v>
      </c>
      <c r="K8">
        <v>-1.7243</v>
      </c>
      <c r="M8">
        <v>100.001</v>
      </c>
      <c r="N8">
        <v>-1.40739</v>
      </c>
      <c r="P8">
        <v>100.001</v>
      </c>
      <c r="Q8">
        <v>-1.14953</v>
      </c>
    </row>
    <row r="9" spans="1:17">
      <c r="A9">
        <v>100.001</v>
      </c>
      <c r="B9">
        <v>-1.41004</v>
      </c>
      <c r="D9">
        <v>100.001</v>
      </c>
      <c r="E9">
        <v>-1.39195</v>
      </c>
      <c r="G9">
        <v>100.001</v>
      </c>
      <c r="H9">
        <v>-1.04662</v>
      </c>
      <c r="J9">
        <v>100.001</v>
      </c>
      <c r="K9">
        <v>-1.58495</v>
      </c>
      <c r="M9">
        <v>100.001</v>
      </c>
      <c r="N9">
        <v>-1.30293</v>
      </c>
      <c r="P9">
        <v>100.001</v>
      </c>
      <c r="Q9">
        <v>-1.10176</v>
      </c>
    </row>
    <row r="10" spans="1:17">
      <c r="A10">
        <v>100.001</v>
      </c>
      <c r="B10">
        <v>-1.41914</v>
      </c>
      <c r="D10">
        <v>100.001</v>
      </c>
      <c r="E10">
        <v>-1.38046</v>
      </c>
      <c r="G10">
        <v>100.001</v>
      </c>
      <c r="H10">
        <v>-1.00335</v>
      </c>
      <c r="J10">
        <v>100.001</v>
      </c>
      <c r="K10">
        <v>-1.56609</v>
      </c>
      <c r="M10">
        <v>100.001</v>
      </c>
      <c r="N10">
        <v>-1.28369</v>
      </c>
      <c r="P10">
        <v>100.001</v>
      </c>
      <c r="Q10">
        <v>-1.08149</v>
      </c>
    </row>
    <row r="11" spans="1:17">
      <c r="A11">
        <v>100.001</v>
      </c>
      <c r="B11">
        <v>-1.55156</v>
      </c>
      <c r="D11">
        <v>100.001</v>
      </c>
      <c r="E11">
        <v>-1.53991</v>
      </c>
      <c r="G11">
        <v>100.001</v>
      </c>
      <c r="H11">
        <v>-1.12702</v>
      </c>
      <c r="J11">
        <v>100.001</v>
      </c>
      <c r="K11">
        <v>-1.74297</v>
      </c>
      <c r="M11">
        <v>100.001</v>
      </c>
      <c r="N11">
        <v>-1.42984</v>
      </c>
      <c r="P11">
        <v>100.001</v>
      </c>
      <c r="Q11">
        <v>-1.18461</v>
      </c>
    </row>
    <row r="12" spans="1:17">
      <c r="A12">
        <v>100.001</v>
      </c>
      <c r="B12">
        <v>-1.56315</v>
      </c>
      <c r="D12">
        <v>100.001</v>
      </c>
      <c r="E12">
        <v>-1.52733</v>
      </c>
      <c r="G12">
        <v>100.001</v>
      </c>
      <c r="H12">
        <v>-1.06949</v>
      </c>
      <c r="J12">
        <v>100.001</v>
      </c>
      <c r="K12">
        <v>-1.72356</v>
      </c>
      <c r="M12">
        <v>100.001</v>
      </c>
      <c r="N12">
        <v>-1.40777</v>
      </c>
      <c r="P12">
        <v>100.001</v>
      </c>
      <c r="Q12">
        <v>-1.15481</v>
      </c>
    </row>
    <row r="13" spans="1:17">
      <c r="A13">
        <v>200.001</v>
      </c>
      <c r="B13">
        <v>-2.55849</v>
      </c>
      <c r="D13">
        <v>200.001</v>
      </c>
      <c r="E13">
        <v>-2.52239</v>
      </c>
      <c r="G13">
        <v>200.001</v>
      </c>
      <c r="H13">
        <v>-2.05412</v>
      </c>
      <c r="J13">
        <v>200.001</v>
      </c>
      <c r="K13">
        <v>-2.86698</v>
      </c>
      <c r="M13">
        <v>200.001</v>
      </c>
      <c r="N13">
        <v>-2.44638</v>
      </c>
      <c r="P13">
        <v>200.001</v>
      </c>
      <c r="Q13">
        <v>-2.1395</v>
      </c>
    </row>
    <row r="14" spans="1:17">
      <c r="A14">
        <v>200.001</v>
      </c>
      <c r="B14">
        <v>-2.72769</v>
      </c>
      <c r="D14">
        <v>200.001</v>
      </c>
      <c r="E14">
        <v>-2.50414</v>
      </c>
      <c r="G14">
        <v>200.001</v>
      </c>
      <c r="H14">
        <v>-2.00149</v>
      </c>
      <c r="J14">
        <v>200.001</v>
      </c>
      <c r="K14">
        <v>-3.05374</v>
      </c>
      <c r="M14">
        <v>200.001</v>
      </c>
      <c r="N14">
        <v>-2.41889</v>
      </c>
      <c r="P14">
        <v>200.001</v>
      </c>
      <c r="Q14">
        <v>-2.11425</v>
      </c>
    </row>
    <row r="15" spans="1:17">
      <c r="A15">
        <v>200.001</v>
      </c>
      <c r="B15">
        <v>-2.56901</v>
      </c>
      <c r="D15">
        <v>200.001</v>
      </c>
      <c r="E15">
        <v>-2.69904</v>
      </c>
      <c r="G15">
        <v>200.001</v>
      </c>
      <c r="H15">
        <v>-2.15174</v>
      </c>
      <c r="J15">
        <v>200.001</v>
      </c>
      <c r="K15">
        <v>-2.83224</v>
      </c>
      <c r="M15">
        <v>200.001</v>
      </c>
      <c r="N15">
        <v>-2.60099</v>
      </c>
      <c r="P15">
        <v>200.001</v>
      </c>
      <c r="Q15">
        <v>-2.23926</v>
      </c>
    </row>
    <row r="16" spans="1:17">
      <c r="A16">
        <v>200.001</v>
      </c>
      <c r="B16">
        <v>-2.74131</v>
      </c>
      <c r="D16">
        <v>200.001</v>
      </c>
      <c r="E16">
        <v>-2.67934</v>
      </c>
      <c r="G16">
        <v>200.001</v>
      </c>
      <c r="H16">
        <v>-2.08249</v>
      </c>
      <c r="J16">
        <v>200.001</v>
      </c>
      <c r="K16">
        <v>-3.01837</v>
      </c>
      <c r="M16">
        <v>200.001</v>
      </c>
      <c r="N16">
        <v>-2.57046</v>
      </c>
      <c r="P16">
        <v>200.001</v>
      </c>
      <c r="Q16">
        <v>-2.20229</v>
      </c>
    </row>
    <row r="17" spans="1:17">
      <c r="A17">
        <v>200.001</v>
      </c>
      <c r="B17">
        <v>-2.55332</v>
      </c>
      <c r="D17">
        <v>200.001</v>
      </c>
      <c r="E17">
        <v>-2.5154</v>
      </c>
      <c r="G17">
        <v>200.001</v>
      </c>
      <c r="H17">
        <v>-2.04624</v>
      </c>
      <c r="J17">
        <v>200.001</v>
      </c>
      <c r="K17">
        <v>-2.86284</v>
      </c>
      <c r="M17">
        <v>200.001</v>
      </c>
      <c r="N17">
        <v>-2.44587</v>
      </c>
      <c r="P17">
        <v>200.001</v>
      </c>
      <c r="Q17">
        <v>-2.14348</v>
      </c>
    </row>
    <row r="18" spans="1:17">
      <c r="A18">
        <v>200.001</v>
      </c>
      <c r="B18">
        <v>-2.56377</v>
      </c>
      <c r="D18">
        <v>200.001</v>
      </c>
      <c r="E18">
        <v>-2.49689</v>
      </c>
      <c r="G18">
        <v>200.001</v>
      </c>
      <c r="H18">
        <v>-1.99406</v>
      </c>
      <c r="J18">
        <v>200.001</v>
      </c>
      <c r="K18">
        <v>-2.82837</v>
      </c>
      <c r="M18">
        <v>200.001</v>
      </c>
      <c r="N18">
        <v>-2.41875</v>
      </c>
      <c r="P18">
        <v>200.001</v>
      </c>
      <c r="Q18">
        <v>-2.11801</v>
      </c>
    </row>
    <row r="19" spans="1:17">
      <c r="A19">
        <v>200.001</v>
      </c>
      <c r="B19">
        <v>-2.7229</v>
      </c>
      <c r="D19">
        <v>200.001</v>
      </c>
      <c r="E19">
        <v>-2.69231</v>
      </c>
      <c r="G19">
        <v>200.001</v>
      </c>
      <c r="H19">
        <v>-2.1436</v>
      </c>
      <c r="J19">
        <v>200.001</v>
      </c>
      <c r="K19">
        <v>-3.05105</v>
      </c>
      <c r="M19">
        <v>200.001</v>
      </c>
      <c r="N19">
        <v>-2.60095</v>
      </c>
      <c r="P19">
        <v>200.001</v>
      </c>
      <c r="Q19">
        <v>-2.24534</v>
      </c>
    </row>
    <row r="20" spans="1:17">
      <c r="A20">
        <v>200.001</v>
      </c>
      <c r="B20">
        <v>-2.73642</v>
      </c>
      <c r="D20">
        <v>200.001</v>
      </c>
      <c r="E20">
        <v>-2.67233</v>
      </c>
      <c r="G20">
        <v>200.001</v>
      </c>
      <c r="H20">
        <v>-2.07475</v>
      </c>
      <c r="J20">
        <v>200.001</v>
      </c>
      <c r="K20">
        <v>-3.01571</v>
      </c>
      <c r="M20">
        <v>200.001</v>
      </c>
      <c r="N20">
        <v>-2.57078</v>
      </c>
      <c r="P20">
        <v>200.001</v>
      </c>
      <c r="Q20">
        <v>-2.20823</v>
      </c>
    </row>
    <row r="21" spans="1:17">
      <c r="A21">
        <v>300.001</v>
      </c>
      <c r="B21">
        <v>-3.5226</v>
      </c>
      <c r="D21">
        <v>300.001</v>
      </c>
      <c r="E21">
        <v>-3.45878</v>
      </c>
      <c r="G21">
        <v>300.001</v>
      </c>
      <c r="H21">
        <v>-2.96621</v>
      </c>
      <c r="J21">
        <v>300.001</v>
      </c>
      <c r="K21">
        <v>-3.92581</v>
      </c>
      <c r="M21">
        <v>300.001</v>
      </c>
      <c r="N21">
        <v>-3.43064</v>
      </c>
      <c r="P21">
        <v>300.001</v>
      </c>
      <c r="Q21">
        <v>-3.08711</v>
      </c>
    </row>
    <row r="22" spans="1:17">
      <c r="A22">
        <v>300.001</v>
      </c>
      <c r="B22">
        <v>-3.68632</v>
      </c>
      <c r="D22">
        <v>300.001</v>
      </c>
      <c r="E22">
        <v>-3.43784</v>
      </c>
      <c r="G22">
        <v>300.001</v>
      </c>
      <c r="H22">
        <v>-2.91345</v>
      </c>
      <c r="J22">
        <v>300.001</v>
      </c>
      <c r="K22">
        <v>-4.1052</v>
      </c>
      <c r="M22">
        <v>300.001</v>
      </c>
      <c r="N22">
        <v>-3.39959</v>
      </c>
      <c r="P22">
        <v>300.001</v>
      </c>
      <c r="Q22">
        <v>-3.06109</v>
      </c>
    </row>
    <row r="23" spans="1:17">
      <c r="A23">
        <v>300.001</v>
      </c>
      <c r="B23">
        <v>-3.52936</v>
      </c>
      <c r="D23">
        <v>300.001</v>
      </c>
      <c r="E23">
        <v>-3.63117</v>
      </c>
      <c r="G23">
        <v>300.001</v>
      </c>
      <c r="H23">
        <v>-3.06121</v>
      </c>
      <c r="J23">
        <v>300.001</v>
      </c>
      <c r="K23">
        <v>-3.88102</v>
      </c>
      <c r="M23">
        <v>300.001</v>
      </c>
      <c r="N23">
        <v>-3.58195</v>
      </c>
      <c r="P23">
        <v>300.001</v>
      </c>
      <c r="Q23">
        <v>-3.18466</v>
      </c>
    </row>
    <row r="24" spans="1:17">
      <c r="A24">
        <v>300.001</v>
      </c>
      <c r="B24">
        <v>-3.69636</v>
      </c>
      <c r="D24">
        <v>300.001</v>
      </c>
      <c r="E24">
        <v>-3.60878</v>
      </c>
      <c r="G24">
        <v>300.001</v>
      </c>
      <c r="H24">
        <v>-2.99202</v>
      </c>
      <c r="J24">
        <v>300.001</v>
      </c>
      <c r="K24">
        <v>-4.06013</v>
      </c>
      <c r="M24">
        <v>300.001</v>
      </c>
      <c r="N24">
        <v>-3.54808</v>
      </c>
      <c r="P24">
        <v>300.001</v>
      </c>
      <c r="Q24">
        <v>-3.14684</v>
      </c>
    </row>
    <row r="25" spans="1:17">
      <c r="A25">
        <v>300.001</v>
      </c>
      <c r="B25">
        <v>-3.51619</v>
      </c>
      <c r="D25">
        <v>300.001</v>
      </c>
      <c r="E25">
        <v>-3.4504</v>
      </c>
      <c r="G25">
        <v>300.001</v>
      </c>
      <c r="H25">
        <v>-2.95718</v>
      </c>
      <c r="J25">
        <v>300.001</v>
      </c>
      <c r="K25">
        <v>-3.92014</v>
      </c>
      <c r="M25">
        <v>300.001</v>
      </c>
      <c r="N25">
        <v>-3.42962</v>
      </c>
      <c r="P25">
        <v>300.001</v>
      </c>
      <c r="Q25">
        <v>-3.09088</v>
      </c>
    </row>
    <row r="26" spans="1:17">
      <c r="A26">
        <v>300.001</v>
      </c>
      <c r="B26">
        <v>-3.52287</v>
      </c>
      <c r="D26">
        <v>300.001</v>
      </c>
      <c r="E26">
        <v>-3.4292</v>
      </c>
      <c r="G26">
        <v>300.001</v>
      </c>
      <c r="H26">
        <v>-2.90501</v>
      </c>
      <c r="J26">
        <v>300.001</v>
      </c>
      <c r="K26">
        <v>-3.87578</v>
      </c>
      <c r="M26">
        <v>300.001</v>
      </c>
      <c r="N26">
        <v>-3.399</v>
      </c>
      <c r="P26">
        <v>300.001</v>
      </c>
      <c r="Q26">
        <v>-3.06466</v>
      </c>
    </row>
    <row r="27" spans="1:17">
      <c r="A27">
        <v>300.001</v>
      </c>
      <c r="B27">
        <v>-3.68025</v>
      </c>
      <c r="D27">
        <v>300.001</v>
      </c>
      <c r="E27">
        <v>-3.62301</v>
      </c>
      <c r="G27">
        <v>300.001</v>
      </c>
      <c r="H27">
        <v>-3.05193</v>
      </c>
      <c r="J27">
        <v>300.001</v>
      </c>
      <c r="K27">
        <v>-4.10088</v>
      </c>
      <c r="M27">
        <v>300.001</v>
      </c>
      <c r="N27">
        <v>-3.58137</v>
      </c>
      <c r="P27">
        <v>300.001</v>
      </c>
      <c r="Q27">
        <v>-3.19042</v>
      </c>
    </row>
    <row r="28" spans="1:17">
      <c r="A28">
        <v>300.001</v>
      </c>
      <c r="B28">
        <v>-3.69019</v>
      </c>
      <c r="D28">
        <v>300.001</v>
      </c>
      <c r="E28">
        <v>-3.60033</v>
      </c>
      <c r="G28">
        <v>300.001</v>
      </c>
      <c r="H28">
        <v>-2.98326</v>
      </c>
      <c r="J28">
        <v>300.001</v>
      </c>
      <c r="K28">
        <v>-4.05602</v>
      </c>
      <c r="M28">
        <v>300.001</v>
      </c>
      <c r="N28">
        <v>-3.54792</v>
      </c>
      <c r="P28">
        <v>300.001</v>
      </c>
      <c r="Q28">
        <v>-3.15247</v>
      </c>
    </row>
    <row r="29" spans="1:17">
      <c r="A29">
        <v>500.001</v>
      </c>
      <c r="B29">
        <v>-5.1354</v>
      </c>
      <c r="D29">
        <v>500.001</v>
      </c>
      <c r="E29">
        <v>-5.01583</v>
      </c>
      <c r="G29">
        <v>500.001</v>
      </c>
      <c r="H29">
        <v>-4.54899</v>
      </c>
      <c r="J29">
        <v>500.001</v>
      </c>
      <c r="K29">
        <v>-5.65278</v>
      </c>
      <c r="M29">
        <v>500.001</v>
      </c>
      <c r="N29">
        <v>-5.08519</v>
      </c>
      <c r="P29">
        <v>500.001</v>
      </c>
      <c r="Q29">
        <v>-4.73671</v>
      </c>
    </row>
    <row r="30" spans="1:17">
      <c r="A30">
        <v>500.001</v>
      </c>
      <c r="B30">
        <v>-5.27113</v>
      </c>
      <c r="D30">
        <v>500.001</v>
      </c>
      <c r="E30">
        <v>-4.99388</v>
      </c>
      <c r="G30">
        <v>500.001</v>
      </c>
      <c r="H30">
        <v>-4.50093</v>
      </c>
      <c r="J30">
        <v>500.001</v>
      </c>
      <c r="K30">
        <v>-5.79846</v>
      </c>
      <c r="M30">
        <v>500.001</v>
      </c>
      <c r="N30">
        <v>-5.05237</v>
      </c>
      <c r="P30">
        <v>500.001</v>
      </c>
      <c r="Q30">
        <v>-4.71245</v>
      </c>
    </row>
    <row r="31" spans="1:17">
      <c r="A31">
        <v>500.001</v>
      </c>
      <c r="B31">
        <v>-5.13234</v>
      </c>
      <c r="D31">
        <v>500.001</v>
      </c>
      <c r="E31">
        <v>-5.16472</v>
      </c>
      <c r="G31">
        <v>500.001</v>
      </c>
      <c r="H31">
        <v>-4.62905</v>
      </c>
      <c r="J31">
        <v>500.001</v>
      </c>
      <c r="K31">
        <v>-5.59623</v>
      </c>
      <c r="M31">
        <v>500.001</v>
      </c>
      <c r="N31">
        <v>-5.21385</v>
      </c>
      <c r="P31">
        <v>500.001</v>
      </c>
      <c r="Q31">
        <v>-4.81849</v>
      </c>
    </row>
    <row r="32" spans="1:17">
      <c r="A32">
        <v>500.001</v>
      </c>
      <c r="B32">
        <v>-5.27185</v>
      </c>
      <c r="D32">
        <v>500.001</v>
      </c>
      <c r="E32">
        <v>-5.1416</v>
      </c>
      <c r="G32">
        <v>500.001</v>
      </c>
      <c r="H32">
        <v>-4.56582</v>
      </c>
      <c r="J32">
        <v>500.001</v>
      </c>
      <c r="K32">
        <v>-5.74289</v>
      </c>
      <c r="M32">
        <v>500.001</v>
      </c>
      <c r="N32">
        <v>-5.17874</v>
      </c>
      <c r="P32">
        <v>500.001</v>
      </c>
      <c r="Q32">
        <v>-4.78322</v>
      </c>
    </row>
    <row r="33" spans="1:17">
      <c r="A33">
        <v>500.001</v>
      </c>
      <c r="B33">
        <v>-5.12832</v>
      </c>
      <c r="D33">
        <v>500.001</v>
      </c>
      <c r="E33">
        <v>-5.00685</v>
      </c>
      <c r="G33">
        <v>500.001</v>
      </c>
      <c r="H33">
        <v>-4.53965</v>
      </c>
      <c r="J33">
        <v>500.001</v>
      </c>
      <c r="K33">
        <v>-5.64604</v>
      </c>
      <c r="M33">
        <v>500.001</v>
      </c>
      <c r="N33">
        <v>-5.08334</v>
      </c>
      <c r="P33">
        <v>500.001</v>
      </c>
      <c r="Q33">
        <v>-4.73959</v>
      </c>
    </row>
    <row r="34" spans="1:17">
      <c r="A34">
        <v>500.001</v>
      </c>
      <c r="B34">
        <v>-5.12519</v>
      </c>
      <c r="D34">
        <v>500.001</v>
      </c>
      <c r="E34">
        <v>-4.98466</v>
      </c>
      <c r="G34">
        <v>500.001</v>
      </c>
      <c r="H34">
        <v>-4.49223</v>
      </c>
      <c r="J34">
        <v>500.001</v>
      </c>
      <c r="K34">
        <v>-5.59</v>
      </c>
      <c r="M34">
        <v>500.001</v>
      </c>
      <c r="N34">
        <v>-5.05097</v>
      </c>
      <c r="P34">
        <v>500.001</v>
      </c>
      <c r="Q34">
        <v>-4.7152</v>
      </c>
    </row>
    <row r="35" spans="1:17">
      <c r="A35">
        <v>500.001</v>
      </c>
      <c r="B35">
        <v>-5.26436</v>
      </c>
      <c r="D35">
        <v>500.001</v>
      </c>
      <c r="E35">
        <v>-5.15595</v>
      </c>
      <c r="G35">
        <v>500.001</v>
      </c>
      <c r="H35">
        <v>-4.61948</v>
      </c>
      <c r="J35">
        <v>500.001</v>
      </c>
      <c r="K35">
        <v>-5.7929</v>
      </c>
      <c r="M35">
        <v>500.001</v>
      </c>
      <c r="N35">
        <v>-5.21239</v>
      </c>
      <c r="P35">
        <v>500.001</v>
      </c>
      <c r="Q35">
        <v>-4.82313</v>
      </c>
    </row>
    <row r="36" spans="1:17">
      <c r="A36">
        <v>500.001</v>
      </c>
      <c r="B36">
        <v>-5.26499</v>
      </c>
      <c r="D36">
        <v>500.001</v>
      </c>
      <c r="E36">
        <v>-5.13256</v>
      </c>
      <c r="G36">
        <v>500.001</v>
      </c>
      <c r="H36">
        <v>-4.55683</v>
      </c>
      <c r="J36">
        <v>500.001</v>
      </c>
      <c r="K36">
        <v>-5.73765</v>
      </c>
      <c r="M36">
        <v>500.001</v>
      </c>
      <c r="N36">
        <v>-5.17773</v>
      </c>
      <c r="P36">
        <v>500.001</v>
      </c>
      <c r="Q36">
        <v>-4.78779</v>
      </c>
    </row>
    <row r="37" spans="1:17">
      <c r="A37">
        <v>900.001</v>
      </c>
      <c r="B37">
        <v>-7.6813</v>
      </c>
      <c r="D37">
        <v>900.001</v>
      </c>
      <c r="E37">
        <v>-7.46598</v>
      </c>
      <c r="G37">
        <v>900.001</v>
      </c>
      <c r="H37">
        <v>-7.06194</v>
      </c>
      <c r="J37">
        <v>900.001</v>
      </c>
      <c r="K37">
        <v>-8.31019</v>
      </c>
      <c r="M37">
        <v>900.001</v>
      </c>
      <c r="N37">
        <v>-7.66613</v>
      </c>
      <c r="P37">
        <v>900.001</v>
      </c>
      <c r="Q37">
        <v>-7.3434</v>
      </c>
    </row>
    <row r="38" spans="1:17">
      <c r="A38">
        <v>900.001</v>
      </c>
      <c r="B38">
        <v>-7.76581</v>
      </c>
      <c r="D38">
        <v>900.001</v>
      </c>
      <c r="E38">
        <v>-7.44352</v>
      </c>
      <c r="G38">
        <v>900.001</v>
      </c>
      <c r="H38">
        <v>-7.02295</v>
      </c>
      <c r="J38">
        <v>900.001</v>
      </c>
      <c r="K38">
        <v>-8.39569</v>
      </c>
      <c r="M38">
        <v>900.001</v>
      </c>
      <c r="N38">
        <v>-7.6334</v>
      </c>
      <c r="P38">
        <v>900.001</v>
      </c>
      <c r="Q38">
        <v>-7.32347</v>
      </c>
    </row>
    <row r="39" spans="1:17">
      <c r="A39">
        <v>900.001</v>
      </c>
      <c r="B39">
        <v>-7.66146</v>
      </c>
      <c r="D39">
        <v>900.001</v>
      </c>
      <c r="E39">
        <v>-7.57277</v>
      </c>
      <c r="G39">
        <v>900.001</v>
      </c>
      <c r="H39">
        <v>-7.11504</v>
      </c>
      <c r="J39">
        <v>900.001</v>
      </c>
      <c r="K39">
        <v>-8.23868</v>
      </c>
      <c r="M39">
        <v>900.001</v>
      </c>
      <c r="N39">
        <v>-7.75366</v>
      </c>
      <c r="P39">
        <v>900.001</v>
      </c>
      <c r="Q39">
        <v>-7.39627</v>
      </c>
    </row>
    <row r="40" spans="1:17">
      <c r="A40">
        <v>900.001</v>
      </c>
      <c r="B40">
        <v>-7.75078</v>
      </c>
      <c r="D40">
        <v>900.001</v>
      </c>
      <c r="E40">
        <v>-7.54969</v>
      </c>
      <c r="G40">
        <v>900.001</v>
      </c>
      <c r="H40">
        <v>-7.06313</v>
      </c>
      <c r="J40">
        <v>900.001</v>
      </c>
      <c r="K40">
        <v>-8.32744</v>
      </c>
      <c r="M40">
        <v>900.001</v>
      </c>
      <c r="N40">
        <v>-7.71955</v>
      </c>
      <c r="P40">
        <v>900.001</v>
      </c>
      <c r="Q40">
        <v>-7.36684</v>
      </c>
    </row>
    <row r="41" spans="1:17">
      <c r="A41">
        <v>900.001</v>
      </c>
      <c r="B41">
        <v>-7.67486</v>
      </c>
      <c r="D41">
        <v>900.001</v>
      </c>
      <c r="E41">
        <v>-7.45796</v>
      </c>
      <c r="G41">
        <v>900.001</v>
      </c>
      <c r="H41">
        <v>-7.05374</v>
      </c>
      <c r="J41">
        <v>900.001</v>
      </c>
      <c r="K41">
        <v>-8.30386</v>
      </c>
      <c r="M41">
        <v>900.001</v>
      </c>
      <c r="N41">
        <v>-7.66395</v>
      </c>
      <c r="P41">
        <v>900.001</v>
      </c>
      <c r="Q41">
        <v>-7.3452</v>
      </c>
    </row>
    <row r="42" spans="1:17">
      <c r="A42">
        <v>900.001</v>
      </c>
      <c r="B42">
        <v>-7.65498</v>
      </c>
      <c r="D42">
        <v>900.001</v>
      </c>
      <c r="E42">
        <v>-7.4353</v>
      </c>
      <c r="G42">
        <v>900.001</v>
      </c>
      <c r="H42">
        <v>-7.01533</v>
      </c>
      <c r="J42">
        <v>900.001</v>
      </c>
      <c r="K42">
        <v>-8.23281</v>
      </c>
      <c r="M42">
        <v>900.001</v>
      </c>
      <c r="N42">
        <v>-7.63161</v>
      </c>
      <c r="P42">
        <v>900.001</v>
      </c>
      <c r="Q42">
        <v>-7.32521</v>
      </c>
    </row>
    <row r="43" spans="1:17">
      <c r="A43">
        <v>900.001</v>
      </c>
      <c r="B43">
        <v>-7.75963</v>
      </c>
      <c r="D43">
        <v>900.001</v>
      </c>
      <c r="E43">
        <v>-7.56492</v>
      </c>
      <c r="G43">
        <v>900.001</v>
      </c>
      <c r="H43">
        <v>-7.10667</v>
      </c>
      <c r="J43">
        <v>900.001</v>
      </c>
      <c r="K43">
        <v>-8.3903</v>
      </c>
      <c r="M43">
        <v>900.001</v>
      </c>
      <c r="N43">
        <v>-7.75179</v>
      </c>
      <c r="P43">
        <v>900.001</v>
      </c>
      <c r="Q43">
        <v>-7.39947</v>
      </c>
    </row>
    <row r="44" spans="1:17">
      <c r="A44">
        <v>900.001</v>
      </c>
      <c r="B44">
        <v>-7.74455</v>
      </c>
      <c r="D44">
        <v>900.001</v>
      </c>
      <c r="E44">
        <v>-7.54163</v>
      </c>
      <c r="G44">
        <v>900.001</v>
      </c>
      <c r="H44">
        <v>-7.05529</v>
      </c>
      <c r="J44">
        <v>900.001</v>
      </c>
      <c r="K44">
        <v>-8.32236</v>
      </c>
      <c r="M44">
        <v>900.001</v>
      </c>
      <c r="N44">
        <v>-7.71808</v>
      </c>
      <c r="P44">
        <v>900.001</v>
      </c>
      <c r="Q44">
        <v>-7.37002</v>
      </c>
    </row>
    <row r="45" spans="1:17">
      <c r="A45">
        <v>1400</v>
      </c>
      <c r="B45">
        <v>-10.1118</v>
      </c>
      <c r="D45">
        <v>1400</v>
      </c>
      <c r="E45">
        <v>-9.80224</v>
      </c>
      <c r="G45">
        <v>1400</v>
      </c>
      <c r="H45">
        <v>-9.45059</v>
      </c>
      <c r="J45">
        <v>1400</v>
      </c>
      <c r="K45">
        <v>-10.7645</v>
      </c>
      <c r="M45">
        <v>1400</v>
      </c>
      <c r="N45">
        <v>-10.0941</v>
      </c>
      <c r="P45">
        <v>1400</v>
      </c>
      <c r="Q45">
        <v>-9.79944</v>
      </c>
    </row>
    <row r="46" spans="1:17">
      <c r="A46">
        <v>1900</v>
      </c>
      <c r="B46">
        <v>-11.9506</v>
      </c>
      <c r="D46">
        <v>1900</v>
      </c>
      <c r="E46">
        <v>-11.5935</v>
      </c>
      <c r="G46">
        <v>1900</v>
      </c>
      <c r="H46">
        <v>-11.2779</v>
      </c>
      <c r="J46">
        <v>1900</v>
      </c>
      <c r="K46">
        <v>-12.6047</v>
      </c>
      <c r="M46">
        <v>1900</v>
      </c>
      <c r="N46">
        <v>-11.9002</v>
      </c>
      <c r="P46">
        <v>1900</v>
      </c>
      <c r="Q46">
        <v>-11.636</v>
      </c>
    </row>
    <row r="47" spans="1:17">
      <c r="A47">
        <v>2400</v>
      </c>
      <c r="B47">
        <v>-13.3594</v>
      </c>
      <c r="D47">
        <v>2400</v>
      </c>
      <c r="E47">
        <v>-12.9514</v>
      </c>
      <c r="G47">
        <v>2400</v>
      </c>
      <c r="H47">
        <v>-12.677</v>
      </c>
      <c r="J47">
        <v>2400</v>
      </c>
      <c r="K47">
        <v>-13.9884</v>
      </c>
      <c r="M47">
        <v>2400</v>
      </c>
      <c r="N47">
        <v>-13.2586</v>
      </c>
      <c r="P47">
        <v>2400</v>
      </c>
      <c r="Q47">
        <v>-13.0176</v>
      </c>
    </row>
    <row r="48" spans="1:17">
      <c r="A48">
        <v>2900</v>
      </c>
      <c r="B48">
        <v>-14.4388</v>
      </c>
      <c r="D48">
        <v>2900</v>
      </c>
      <c r="E48">
        <v>-13.9916</v>
      </c>
      <c r="G48">
        <v>2900</v>
      </c>
      <c r="H48">
        <v>-13.7486</v>
      </c>
      <c r="J48">
        <v>2900</v>
      </c>
      <c r="K48">
        <v>-15.0291</v>
      </c>
      <c r="M48">
        <v>2900</v>
      </c>
      <c r="N48">
        <v>-14.2804</v>
      </c>
      <c r="P48">
        <v>2900</v>
      </c>
      <c r="Q48">
        <v>-14.0568</v>
      </c>
    </row>
    <row r="49" spans="1:17">
      <c r="A49">
        <v>3400</v>
      </c>
      <c r="B49">
        <v>-15.2657</v>
      </c>
      <c r="D49">
        <v>3400</v>
      </c>
      <c r="E49">
        <v>-14.7884</v>
      </c>
      <c r="G49">
        <v>3400</v>
      </c>
      <c r="H49">
        <v>-14.5695</v>
      </c>
      <c r="J49">
        <v>3400</v>
      </c>
      <c r="K49">
        <v>-15.8119</v>
      </c>
      <c r="M49">
        <v>3400</v>
      </c>
      <c r="N49">
        <v>-15.0489</v>
      </c>
      <c r="P49">
        <v>3400</v>
      </c>
      <c r="Q49">
        <v>-14.8386</v>
      </c>
    </row>
    <row r="50" spans="1:17">
      <c r="A50">
        <v>3900</v>
      </c>
      <c r="B50">
        <v>-15.8992</v>
      </c>
      <c r="D50">
        <v>3900</v>
      </c>
      <c r="E50">
        <v>-15.3989</v>
      </c>
      <c r="G50">
        <v>3900</v>
      </c>
      <c r="H50">
        <v>-15.1984</v>
      </c>
      <c r="J50">
        <v>3900</v>
      </c>
      <c r="K50">
        <v>-16.4006</v>
      </c>
      <c r="M50">
        <v>3900</v>
      </c>
      <c r="N50">
        <v>-15.6269</v>
      </c>
      <c r="P50">
        <v>3900</v>
      </c>
      <c r="Q50">
        <v>-15.4265</v>
      </c>
    </row>
    <row r="51" spans="1:17">
      <c r="A51">
        <v>4400</v>
      </c>
      <c r="B51">
        <v>-16.3846</v>
      </c>
      <c r="D51">
        <v>4400</v>
      </c>
      <c r="E51">
        <v>-15.8665</v>
      </c>
      <c r="G51">
        <v>4400</v>
      </c>
      <c r="H51">
        <v>-15.6801</v>
      </c>
      <c r="J51">
        <v>4400</v>
      </c>
      <c r="K51">
        <v>-16.8435</v>
      </c>
      <c r="M51">
        <v>4400</v>
      </c>
      <c r="N51">
        <v>-16.0617</v>
      </c>
      <c r="P51">
        <v>4400</v>
      </c>
      <c r="Q51">
        <v>-15.8688</v>
      </c>
    </row>
    <row r="52" spans="1:17">
      <c r="A52">
        <v>4900</v>
      </c>
      <c r="B52">
        <v>-16.7564</v>
      </c>
      <c r="D52">
        <v>4900</v>
      </c>
      <c r="E52">
        <v>-16.2248</v>
      </c>
      <c r="G52">
        <v>4900</v>
      </c>
      <c r="H52">
        <v>-16.0492</v>
      </c>
      <c r="J52">
        <v>4900</v>
      </c>
      <c r="K52">
        <v>-17.1765</v>
      </c>
      <c r="M52">
        <v>4900</v>
      </c>
      <c r="N52">
        <v>-16.3888</v>
      </c>
      <c r="P52">
        <v>4900</v>
      </c>
      <c r="Q52">
        <v>-16.2015</v>
      </c>
    </row>
    <row r="53" spans="1:17">
      <c r="A53">
        <v>5400</v>
      </c>
      <c r="B53">
        <v>-17.0412</v>
      </c>
      <c r="D53">
        <v>5400</v>
      </c>
      <c r="E53">
        <v>-16.4993</v>
      </c>
      <c r="G53">
        <v>5400</v>
      </c>
      <c r="H53">
        <v>-16.3319</v>
      </c>
      <c r="J53">
        <v>5400</v>
      </c>
      <c r="K53">
        <v>-17.4271</v>
      </c>
      <c r="M53">
        <v>5400</v>
      </c>
      <c r="N53">
        <v>-16.6348</v>
      </c>
      <c r="P53">
        <v>5400</v>
      </c>
      <c r="Q53">
        <v>-16.4517</v>
      </c>
    </row>
    <row r="54" spans="1:17">
      <c r="A54">
        <v>5900</v>
      </c>
      <c r="B54">
        <v>-17.2594</v>
      </c>
      <c r="D54">
        <v>5900</v>
      </c>
      <c r="E54">
        <v>-16.7095</v>
      </c>
      <c r="G54">
        <v>5900</v>
      </c>
      <c r="H54">
        <v>-16.5485</v>
      </c>
      <c r="J54">
        <v>5900</v>
      </c>
      <c r="K54">
        <v>-17.6155</v>
      </c>
      <c r="M54">
        <v>5900</v>
      </c>
      <c r="N54">
        <v>-16.8198</v>
      </c>
      <c r="P54">
        <v>5900</v>
      </c>
      <c r="Q54">
        <v>-16.6399</v>
      </c>
    </row>
    <row r="55" spans="1:17">
      <c r="A55">
        <v>6400</v>
      </c>
      <c r="B55">
        <v>-17.4266</v>
      </c>
      <c r="D55">
        <v>6400</v>
      </c>
      <c r="E55">
        <v>-16.8706</v>
      </c>
      <c r="G55">
        <v>6400</v>
      </c>
      <c r="H55">
        <v>-16.7144</v>
      </c>
      <c r="J55">
        <v>6400</v>
      </c>
      <c r="K55">
        <v>-17.7573</v>
      </c>
      <c r="M55">
        <v>6400</v>
      </c>
      <c r="N55">
        <v>-16.959</v>
      </c>
      <c r="P55">
        <v>6400</v>
      </c>
      <c r="Q55">
        <v>-16.7814</v>
      </c>
    </row>
    <row r="56" spans="1:17">
      <c r="A56">
        <v>6900</v>
      </c>
      <c r="B56">
        <v>-17.5547</v>
      </c>
      <c r="D56">
        <v>6900</v>
      </c>
      <c r="E56">
        <v>-16.994</v>
      </c>
      <c r="G56">
        <v>6900</v>
      </c>
      <c r="H56">
        <v>-16.8415</v>
      </c>
      <c r="J56">
        <v>6900</v>
      </c>
      <c r="K56">
        <v>-17.8639</v>
      </c>
      <c r="M56">
        <v>6900</v>
      </c>
      <c r="N56">
        <v>-17.0636</v>
      </c>
      <c r="P56">
        <v>6900</v>
      </c>
      <c r="Q56">
        <v>-16.8879</v>
      </c>
    </row>
    <row r="57" spans="1:17">
      <c r="A57">
        <v>7400</v>
      </c>
      <c r="B57">
        <v>-17.6528</v>
      </c>
      <c r="D57">
        <v>7400</v>
      </c>
      <c r="E57">
        <v>-17.0885</v>
      </c>
      <c r="G57">
        <v>7400</v>
      </c>
      <c r="H57">
        <v>-16.9389</v>
      </c>
      <c r="J57">
        <v>7400</v>
      </c>
      <c r="K57">
        <v>-17.9441</v>
      </c>
      <c r="M57">
        <v>7400</v>
      </c>
      <c r="N57">
        <v>-17.1424</v>
      </c>
      <c r="P57">
        <v>7400</v>
      </c>
      <c r="Q57">
        <v>-16.968</v>
      </c>
    </row>
    <row r="58" spans="1:17">
      <c r="A58">
        <v>7900</v>
      </c>
      <c r="B58">
        <v>-17.7279</v>
      </c>
      <c r="D58">
        <v>7900</v>
      </c>
      <c r="E58">
        <v>-17.161</v>
      </c>
      <c r="G58">
        <v>7900</v>
      </c>
      <c r="H58">
        <v>-17.0135</v>
      </c>
      <c r="J58">
        <v>7900</v>
      </c>
      <c r="K58">
        <v>-18.0044</v>
      </c>
      <c r="M58">
        <v>7900</v>
      </c>
      <c r="N58">
        <v>-17.2016</v>
      </c>
      <c r="P58">
        <v>7900</v>
      </c>
      <c r="Q58">
        <v>-17.0282</v>
      </c>
    </row>
    <row r="59" spans="1:17">
      <c r="A59">
        <v>8400</v>
      </c>
      <c r="B59">
        <v>-17.7855</v>
      </c>
      <c r="D59">
        <v>8400</v>
      </c>
      <c r="E59">
        <v>-17.2164</v>
      </c>
      <c r="G59">
        <v>8400</v>
      </c>
      <c r="H59">
        <v>-17.0707</v>
      </c>
      <c r="J59">
        <v>8400</v>
      </c>
      <c r="K59">
        <v>-18.0497</v>
      </c>
      <c r="M59">
        <v>8400</v>
      </c>
      <c r="N59">
        <v>-17.2461</v>
      </c>
      <c r="P59">
        <v>8400</v>
      </c>
      <c r="Q59">
        <v>-17.0735</v>
      </c>
    </row>
    <row r="60" spans="1:17">
      <c r="A60">
        <v>8900</v>
      </c>
      <c r="B60">
        <v>-17.8296</v>
      </c>
      <c r="D60">
        <v>8900</v>
      </c>
      <c r="E60">
        <v>-17.259</v>
      </c>
      <c r="G60">
        <v>8900</v>
      </c>
      <c r="H60">
        <v>-17.1145</v>
      </c>
      <c r="J60">
        <v>8900</v>
      </c>
      <c r="K60">
        <v>-18.0839</v>
      </c>
      <c r="M60">
        <v>8900</v>
      </c>
      <c r="N60">
        <v>-17.2797</v>
      </c>
      <c r="P60">
        <v>8900</v>
      </c>
      <c r="Q60">
        <v>-17.1076</v>
      </c>
    </row>
    <row r="61" spans="1:17">
      <c r="A61">
        <v>9400</v>
      </c>
      <c r="B61">
        <v>-17.8634</v>
      </c>
      <c r="D61">
        <v>9400</v>
      </c>
      <c r="E61">
        <v>-17.2915</v>
      </c>
      <c r="G61">
        <v>9400</v>
      </c>
      <c r="H61">
        <v>-17.148</v>
      </c>
      <c r="J61">
        <v>9400</v>
      </c>
      <c r="K61">
        <v>-18.1095</v>
      </c>
      <c r="M61">
        <v>9400</v>
      </c>
      <c r="N61">
        <v>-17.3049</v>
      </c>
      <c r="P61">
        <v>9400</v>
      </c>
      <c r="Q61">
        <v>-17.1333</v>
      </c>
    </row>
    <row r="62" spans="1:17">
      <c r="A62">
        <v>9900</v>
      </c>
      <c r="B62">
        <v>-17.8893</v>
      </c>
      <c r="D62">
        <v>9900</v>
      </c>
      <c r="E62">
        <v>-17.3165</v>
      </c>
      <c r="G62">
        <v>9900</v>
      </c>
      <c r="H62">
        <v>-17.1737</v>
      </c>
      <c r="J62">
        <v>9900</v>
      </c>
      <c r="K62">
        <v>-18.1288</v>
      </c>
      <c r="M62">
        <v>9900</v>
      </c>
      <c r="N62">
        <v>-17.3238</v>
      </c>
      <c r="P62">
        <v>9900</v>
      </c>
      <c r="Q62">
        <v>-17.1525</v>
      </c>
    </row>
    <row r="63" spans="1:17">
      <c r="A63">
        <v>10400</v>
      </c>
      <c r="B63">
        <v>-17.9092</v>
      </c>
      <c r="D63">
        <v>10400</v>
      </c>
      <c r="E63">
        <v>-17.3356</v>
      </c>
      <c r="G63">
        <v>10400</v>
      </c>
      <c r="H63">
        <v>-17.1934</v>
      </c>
      <c r="J63">
        <v>10400</v>
      </c>
      <c r="K63">
        <v>-18.1434</v>
      </c>
      <c r="M63">
        <v>10400</v>
      </c>
      <c r="N63">
        <v>-17.3381</v>
      </c>
      <c r="P63">
        <v>10400</v>
      </c>
      <c r="Q63">
        <v>-17.167</v>
      </c>
    </row>
    <row r="64" spans="1:17">
      <c r="A64">
        <v>10900</v>
      </c>
      <c r="B64">
        <v>-17.9243</v>
      </c>
      <c r="D64">
        <v>10900</v>
      </c>
      <c r="E64">
        <v>-17.3502</v>
      </c>
      <c r="G64">
        <v>10900</v>
      </c>
      <c r="H64">
        <v>-17.2085</v>
      </c>
      <c r="J64">
        <v>10900</v>
      </c>
      <c r="K64">
        <v>-18.1543</v>
      </c>
      <c r="M64">
        <v>10900</v>
      </c>
      <c r="N64">
        <v>-17.3488</v>
      </c>
      <c r="P64">
        <v>10900</v>
      </c>
      <c r="Q64">
        <v>-17.1779</v>
      </c>
    </row>
    <row r="65" spans="1:17">
      <c r="A65">
        <v>11400</v>
      </c>
      <c r="B65">
        <v>-17.936</v>
      </c>
      <c r="D65">
        <v>11400</v>
      </c>
      <c r="E65">
        <v>-17.3614</v>
      </c>
      <c r="G65">
        <v>11400</v>
      </c>
      <c r="H65">
        <v>-17.22</v>
      </c>
      <c r="J65">
        <v>11400</v>
      </c>
      <c r="K65">
        <v>-18.1625</v>
      </c>
      <c r="M65">
        <v>11400</v>
      </c>
      <c r="N65">
        <v>-17.3569</v>
      </c>
      <c r="P65">
        <v>11400</v>
      </c>
      <c r="Q65">
        <v>-17.1862</v>
      </c>
    </row>
    <row r="66" spans="1:17">
      <c r="A66">
        <v>11900</v>
      </c>
      <c r="B66">
        <v>-17.9449</v>
      </c>
      <c r="D66">
        <v>11900</v>
      </c>
      <c r="E66">
        <v>-17.37</v>
      </c>
      <c r="G66">
        <v>11900</v>
      </c>
      <c r="H66">
        <v>-17.2289</v>
      </c>
      <c r="J66">
        <v>11900</v>
      </c>
      <c r="K66">
        <v>-18.1687</v>
      </c>
      <c r="M66">
        <v>11900</v>
      </c>
      <c r="N66">
        <v>-17.3629</v>
      </c>
      <c r="P66">
        <v>11900</v>
      </c>
      <c r="Q66">
        <v>-17.1923</v>
      </c>
    </row>
    <row r="67" spans="1:17">
      <c r="A67">
        <v>12000</v>
      </c>
      <c r="B67">
        <v>-17.9466</v>
      </c>
      <c r="D67">
        <v>12000</v>
      </c>
      <c r="E67">
        <v>-17.3716</v>
      </c>
      <c r="G67">
        <v>12000</v>
      </c>
      <c r="H67">
        <v>-17.2305</v>
      </c>
      <c r="J67">
        <v>12000</v>
      </c>
      <c r="K67">
        <v>-18.1698</v>
      </c>
      <c r="M67">
        <v>12000</v>
      </c>
      <c r="N67">
        <v>-17.3641</v>
      </c>
      <c r="P67">
        <v>12000</v>
      </c>
      <c r="Q67">
        <v>-17.1935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F14" sqref="F14"/>
    </sheetView>
  </sheetViews>
  <sheetFormatPr defaultColWidth="9" defaultRowHeight="13.5" outlineLevelCol="6"/>
  <cols>
    <col min="4" max="4" width="12.625"/>
    <col min="7" max="7" width="12.625"/>
  </cols>
  <sheetData>
    <row r="1" spans="1:7">
      <c r="A1" t="s">
        <v>0</v>
      </c>
      <c r="B1" t="s">
        <v>12</v>
      </c>
      <c r="D1" t="s">
        <v>13</v>
      </c>
    </row>
    <row r="2" spans="1:7">
      <c r="A2">
        <v>0</v>
      </c>
      <c r="B2">
        <v>0</v>
      </c>
      <c r="D2" s="1">
        <f>A2*1.76/60</f>
        <v>0</v>
      </c>
      <c r="E2">
        <v>0</v>
      </c>
      <c r="G2">
        <f>E2*0.94632</f>
        <v>0</v>
      </c>
    </row>
    <row r="3" spans="1:7">
      <c r="A3">
        <v>0.001</v>
      </c>
      <c r="B3">
        <v>19.9246</v>
      </c>
      <c r="D3" s="1">
        <f t="shared" ref="D3:D32" si="0">A3*1.76/60</f>
        <v>2.93333333333333e-5</v>
      </c>
      <c r="E3">
        <v>19.9246</v>
      </c>
      <c r="G3">
        <f>E3*0.95376</f>
        <v>19.003286496</v>
      </c>
    </row>
    <row r="4" spans="1:7">
      <c r="A4">
        <v>0.001</v>
      </c>
      <c r="B4">
        <v>19.9246</v>
      </c>
      <c r="D4" s="1">
        <f t="shared" si="0"/>
        <v>2.93333333333333e-5</v>
      </c>
      <c r="E4">
        <v>19.9246</v>
      </c>
      <c r="G4">
        <f>E4*0.93376</f>
        <v>18.604794496</v>
      </c>
    </row>
    <row r="5" spans="1:7">
      <c r="A5">
        <v>100.001</v>
      </c>
      <c r="B5">
        <v>18.342</v>
      </c>
      <c r="D5" s="1">
        <f t="shared" si="0"/>
        <v>2.93336266666667</v>
      </c>
      <c r="E5">
        <v>18.342</v>
      </c>
      <c r="G5">
        <f>E5*0.96</f>
        <v>17.60832</v>
      </c>
    </row>
    <row r="6" spans="1:7">
      <c r="A6">
        <v>200.001</v>
      </c>
      <c r="B6">
        <v>17.0363</v>
      </c>
      <c r="D6" s="1">
        <f t="shared" si="0"/>
        <v>5.866696</v>
      </c>
      <c r="E6">
        <v>17.0363</v>
      </c>
      <c r="G6">
        <f>E6*0.96376</f>
        <v>16.418904488</v>
      </c>
    </row>
    <row r="7" spans="1:7">
      <c r="A7">
        <v>300.001</v>
      </c>
      <c r="B7">
        <v>15.9599</v>
      </c>
      <c r="D7" s="1">
        <f t="shared" si="0"/>
        <v>8.80002933333333</v>
      </c>
      <c r="E7">
        <v>15.9599</v>
      </c>
      <c r="G7">
        <f>E7*0.93376</f>
        <v>14.902716224</v>
      </c>
    </row>
    <row r="8" spans="1:7">
      <c r="A8">
        <v>500.001</v>
      </c>
      <c r="B8">
        <v>14.1847</v>
      </c>
      <c r="D8" s="1">
        <f t="shared" si="0"/>
        <v>14.666696</v>
      </c>
      <c r="E8">
        <v>14.1847</v>
      </c>
      <c r="G8">
        <f>E8*0.98376</f>
        <v>13.954340472</v>
      </c>
    </row>
    <row r="9" spans="1:7">
      <c r="A9">
        <v>900.001</v>
      </c>
      <c r="B9">
        <v>11.3939</v>
      </c>
      <c r="D9" s="1">
        <f t="shared" si="0"/>
        <v>26.4000293333333</v>
      </c>
      <c r="E9">
        <v>11.3939</v>
      </c>
      <c r="G9">
        <f>E9*0.9565</f>
        <v>10.89826535</v>
      </c>
    </row>
    <row r="10" spans="1:7">
      <c r="A10">
        <v>1400</v>
      </c>
      <c r="B10">
        <v>8.72911</v>
      </c>
      <c r="D10" s="1">
        <f t="shared" si="0"/>
        <v>41.0666666666667</v>
      </c>
      <c r="E10">
        <v>8.72911</v>
      </c>
      <c r="G10">
        <f>E10*0.97376</f>
        <v>8.5000581536</v>
      </c>
    </row>
    <row r="11" spans="1:7">
      <c r="A11">
        <v>1900</v>
      </c>
      <c r="B11">
        <v>6.68768</v>
      </c>
      <c r="D11" s="1">
        <f t="shared" si="0"/>
        <v>55.7333333333333</v>
      </c>
      <c r="E11">
        <v>6.68768</v>
      </c>
      <c r="G11">
        <f>E11*0.98376</f>
        <v>6.5790720768</v>
      </c>
    </row>
    <row r="12" spans="1:7">
      <c r="A12">
        <v>2400</v>
      </c>
      <c r="B12">
        <v>5.12352</v>
      </c>
      <c r="D12" s="1">
        <f t="shared" si="0"/>
        <v>70.4</v>
      </c>
      <c r="E12">
        <v>5.12352</v>
      </c>
      <c r="G12">
        <f>E12*1.0213</f>
        <v>5.232650976</v>
      </c>
    </row>
    <row r="13" spans="1:7">
      <c r="A13">
        <v>2900</v>
      </c>
      <c r="B13">
        <v>3.92512</v>
      </c>
      <c r="D13" s="1">
        <f t="shared" si="0"/>
        <v>85.0666666666667</v>
      </c>
      <c r="E13">
        <v>3.92512</v>
      </c>
      <c r="G13">
        <f>E13*1.135376</f>
        <v>4.45648704512</v>
      </c>
    </row>
    <row r="14" spans="1:7">
      <c r="A14">
        <v>3400</v>
      </c>
      <c r="B14">
        <v>3.00701</v>
      </c>
      <c r="D14" s="1">
        <f t="shared" si="0"/>
        <v>99.7333333333333</v>
      </c>
      <c r="E14">
        <v>3.00701</v>
      </c>
      <c r="G14">
        <f>E14*1.1964</f>
        <v>3.597586764</v>
      </c>
    </row>
    <row r="15" spans="1:7">
      <c r="A15">
        <v>3900</v>
      </c>
      <c r="B15">
        <v>2.30365</v>
      </c>
      <c r="D15" s="1">
        <f t="shared" si="0"/>
        <v>114.4</v>
      </c>
      <c r="E15">
        <v>2.30365</v>
      </c>
      <c r="G15">
        <f>E15*1.5376</f>
        <v>3.54209224</v>
      </c>
    </row>
    <row r="16" spans="1:7">
      <c r="A16">
        <v>4400</v>
      </c>
      <c r="B16">
        <v>1.7648</v>
      </c>
      <c r="D16" s="1">
        <f t="shared" si="0"/>
        <v>129.066666666667</v>
      </c>
      <c r="E16">
        <v>1.7648</v>
      </c>
      <c r="G16">
        <f>E16*1.2376</f>
        <v>2.18411648</v>
      </c>
    </row>
    <row r="17" spans="1:7">
      <c r="A17">
        <v>4900</v>
      </c>
      <c r="B17">
        <v>1.352</v>
      </c>
      <c r="D17" s="1">
        <f t="shared" si="0"/>
        <v>143.733333333333</v>
      </c>
      <c r="E17">
        <v>1.352</v>
      </c>
      <c r="G17">
        <f>E17*1.01376</f>
        <v>1.37060352</v>
      </c>
    </row>
    <row r="18" spans="1:7">
      <c r="A18">
        <v>5400</v>
      </c>
      <c r="B18">
        <v>1.03575</v>
      </c>
      <c r="D18" s="1">
        <f t="shared" si="0"/>
        <v>158.4</v>
      </c>
      <c r="E18">
        <v>1.03575</v>
      </c>
      <c r="G18">
        <f>E18*1.16376</f>
        <v>1.20536442</v>
      </c>
    </row>
    <row r="19" spans="1:7">
      <c r="A19">
        <v>5900</v>
      </c>
      <c r="B19">
        <v>0.793478</v>
      </c>
      <c r="D19" s="1">
        <f t="shared" si="0"/>
        <v>173.066666666667</v>
      </c>
      <c r="E19">
        <v>0.793478</v>
      </c>
      <c r="G19">
        <f>E19*1.21376</f>
        <v>0.96309185728</v>
      </c>
    </row>
    <row r="20" spans="1:7">
      <c r="A20">
        <v>6400</v>
      </c>
      <c r="B20">
        <v>0.607875</v>
      </c>
      <c r="D20" s="1">
        <f t="shared" si="0"/>
        <v>187.733333333333</v>
      </c>
      <c r="E20">
        <v>0.607875</v>
      </c>
      <c r="G20">
        <f>E20*1.04376</f>
        <v>0.63447561</v>
      </c>
    </row>
    <row r="21" spans="1:7">
      <c r="A21">
        <v>6900</v>
      </c>
      <c r="B21">
        <v>0.465687</v>
      </c>
      <c r="D21" s="1">
        <f t="shared" si="0"/>
        <v>202.4</v>
      </c>
      <c r="E21">
        <v>0.465687</v>
      </c>
      <c r="G21">
        <f>E21*1.03376</f>
        <v>0.48140859312</v>
      </c>
    </row>
    <row r="22" spans="1:7">
      <c r="A22">
        <v>7400</v>
      </c>
      <c r="B22">
        <v>0.356758</v>
      </c>
      <c r="D22" s="1">
        <f t="shared" si="0"/>
        <v>217.066666666667</v>
      </c>
      <c r="E22">
        <v>0.356758</v>
      </c>
      <c r="G22">
        <f>E22*1.325376</f>
        <v>0.472838491008</v>
      </c>
    </row>
    <row r="23" spans="1:7">
      <c r="A23">
        <v>7900</v>
      </c>
      <c r="B23">
        <v>0.273308</v>
      </c>
      <c r="D23" s="1">
        <f t="shared" si="0"/>
        <v>231.733333333333</v>
      </c>
      <c r="E23">
        <v>0.273308</v>
      </c>
      <c r="G23">
        <f>E23*1.10376</f>
        <v>0.30166643808</v>
      </c>
    </row>
    <row r="24" spans="1:7">
      <c r="A24">
        <v>8400</v>
      </c>
      <c r="B24">
        <v>0.209379</v>
      </c>
      <c r="D24" s="1">
        <f t="shared" si="0"/>
        <v>246.4</v>
      </c>
      <c r="E24">
        <v>0.209379</v>
      </c>
      <c r="G24">
        <f>E24*1.31376</f>
        <v>0.27507375504</v>
      </c>
    </row>
    <row r="25" spans="1:7">
      <c r="A25">
        <v>8900</v>
      </c>
      <c r="B25">
        <v>0.160403</v>
      </c>
      <c r="D25" s="1">
        <f t="shared" si="0"/>
        <v>261.066666666667</v>
      </c>
      <c r="E25">
        <v>0.160403</v>
      </c>
      <c r="G25">
        <f>E25*1.2376</f>
        <v>0.1985147528</v>
      </c>
    </row>
    <row r="26" spans="1:7">
      <c r="A26">
        <v>9400</v>
      </c>
      <c r="B26">
        <v>0.122883</v>
      </c>
      <c r="D26" s="1">
        <f t="shared" si="0"/>
        <v>275.733333333333</v>
      </c>
      <c r="E26">
        <v>0.122883</v>
      </c>
      <c r="G26">
        <f>E26*1.06376</f>
        <v>0.13071802008</v>
      </c>
    </row>
    <row r="27" spans="1:7">
      <c r="A27">
        <v>9900</v>
      </c>
      <c r="B27">
        <v>0.0941393</v>
      </c>
      <c r="D27" s="1">
        <f t="shared" si="0"/>
        <v>290.4</v>
      </c>
      <c r="E27">
        <v>0.0941393</v>
      </c>
      <c r="G27">
        <f>E27*1.33</f>
        <v>0.125205269</v>
      </c>
    </row>
    <row r="28" spans="1:7">
      <c r="A28">
        <v>10400</v>
      </c>
      <c r="B28">
        <v>0.0721191</v>
      </c>
      <c r="D28" s="1">
        <f t="shared" si="0"/>
        <v>305.066666666667</v>
      </c>
      <c r="E28">
        <v>0.0721191</v>
      </c>
      <c r="G28">
        <f>E28*1.61376</f>
        <v>0.116382918816</v>
      </c>
    </row>
    <row r="29" spans="1:7">
      <c r="A29">
        <v>10900</v>
      </c>
      <c r="B29">
        <v>0.0552497</v>
      </c>
      <c r="D29" s="1">
        <f t="shared" si="0"/>
        <v>319.733333333333</v>
      </c>
      <c r="E29">
        <v>0.0552497</v>
      </c>
      <c r="G29">
        <f>E29*1.45376</f>
        <v>0.080319803872</v>
      </c>
    </row>
    <row r="30" spans="1:7">
      <c r="A30">
        <v>11400</v>
      </c>
      <c r="B30">
        <v>0.0423262</v>
      </c>
      <c r="D30" s="1">
        <f t="shared" si="0"/>
        <v>334.4</v>
      </c>
      <c r="E30">
        <v>0.0423262</v>
      </c>
      <c r="G30">
        <f>E30*1.63376</f>
        <v>0.069150852512</v>
      </c>
    </row>
    <row r="31" spans="1:7">
      <c r="A31">
        <v>11900</v>
      </c>
      <c r="B31">
        <v>0.0324257</v>
      </c>
      <c r="D31" s="1">
        <f t="shared" si="0"/>
        <v>349.066666666667</v>
      </c>
      <c r="E31">
        <v>0.0324257</v>
      </c>
      <c r="G31">
        <f>E31*1.69376</f>
        <v>0.054921353632</v>
      </c>
    </row>
    <row r="32" spans="1:7">
      <c r="A32">
        <v>12000</v>
      </c>
      <c r="B32">
        <v>0.0305595</v>
      </c>
      <c r="D32" s="1">
        <f t="shared" si="0"/>
        <v>352</v>
      </c>
      <c r="E32">
        <v>0.0305595</v>
      </c>
      <c r="G32">
        <f>E32*1.53376</f>
        <v>0.04687093872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孔压测点P</vt:lpstr>
      <vt:lpstr>土压力测点S</vt:lpstr>
      <vt:lpstr>与试验对比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最好不过</cp:lastModifiedBy>
  <dcterms:created xsi:type="dcterms:W3CDTF">2025-12-15T07:23:20Z</dcterms:created>
  <dcterms:modified xsi:type="dcterms:W3CDTF">2025-12-15T11:29:58Z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04BE9F4649624D36A60E6BADB3E04910_11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